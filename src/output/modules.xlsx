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iduSyncdisk\class-infos\Year3_FirstSemester\Quantitative-Investment-Analysis\QIA-Final-Regression-Test\src\output\"/>
    </mc:Choice>
  </mc:AlternateContent>
  <xr:revisionPtr revIDLastSave="0" documentId="13_ncr:1_{1C3EF2D4-F0A6-42C8-B947-E96F289C16B0}" xr6:coauthVersionLast="47" xr6:coauthVersionMax="47" xr10:uidLastSave="{00000000-0000-0000-0000-000000000000}"/>
  <bookViews>
    <workbookView xWindow="-108" yWindow="-108" windowWidth="23256" windowHeight="13896" xr2:uid="{41BDE900-0581-47CE-AD2E-5981F4FF6452}"/>
  </bookViews>
  <sheets>
    <sheet name="all in one" sheetId="7" r:id="rId1"/>
    <sheet name="module_one" sheetId="4" r:id="rId2"/>
    <sheet name="module_two" sheetId="5" r:id="rId3"/>
    <sheet name="module_three" sheetId="6" r:id="rId4"/>
  </sheets>
  <definedNames>
    <definedName name="外部資料_1" localSheetId="1" hidden="1">module_one!$A$1:$B$17</definedName>
    <definedName name="外部資料_1" localSheetId="2" hidden="1">module_two!$A$1:$B$17</definedName>
    <definedName name="外部資料_2" localSheetId="3" hidden="1">module_three!$A$1:$B$17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B3BE9-0A9F-4E39-B727-F8BB00C2CCDC}" keepAlive="1" name="查詢 - module_one" description="與活頁簿中 'module_one' 查詢的連接。" type="5" refreshedVersion="7" background="1" saveData="1">
    <dbPr connection="Provider=Microsoft.Mashup.OleDb.1;Data Source=$Workbook$;Location=module_one;Extended Properties=&quot;&quot;" command="SELECT * FROM [module_one]"/>
  </connection>
  <connection id="2" xr16:uid="{E31F0C9D-7BD2-4E06-BDEF-DC9E52545264}" keepAlive="1" name="查詢 - module_three" description="與活頁簿中 'module_three' 查詢的連接。" type="5" refreshedVersion="7" background="1" saveData="1">
    <dbPr connection="Provider=Microsoft.Mashup.OleDb.1;Data Source=$Workbook$;Location=module_three;Extended Properties=&quot;&quot;" command="SELECT * FROM [module_three]"/>
  </connection>
  <connection id="3" xr16:uid="{8CA9D8DC-01AC-42D2-8E5D-A0E86F25668E}" keepAlive="1" name="查詢 - module_two" description="與活頁簿中 'module_two' 查詢的連接。" type="5" refreshedVersion="7" background="1" saveData="1">
    <dbPr connection="Provider=Microsoft.Mashup.OleDb.1;Data Source=$Workbook$;Location=module_two;Extended Properties=&quot;&quot;" command="SELECT * FROM [module_two]"/>
  </connection>
</connections>
</file>

<file path=xl/sharedStrings.xml><?xml version="1.0" encoding="utf-8"?>
<sst xmlns="http://schemas.openxmlformats.org/spreadsheetml/2006/main" count="94" uniqueCount="27">
  <si>
    <t>Metric</t>
  </si>
  <si>
    <t>Value</t>
  </si>
  <si>
    <t>最終權益 (Mark-to-Market)</t>
  </si>
  <si>
    <t>淨利或淨損 (已實現)</t>
  </si>
  <si>
    <t>最大回撤 (MDD)</t>
  </si>
  <si>
    <t>總獲利 (已實現)</t>
  </si>
  <si>
    <t>總損失 (已實現)</t>
  </si>
  <si>
    <t>總交易次數</t>
  </si>
  <si>
    <t>賺錢交易次數</t>
  </si>
  <si>
    <t>虧錢交易次數</t>
  </si>
  <si>
    <t>勝率</t>
  </si>
  <si>
    <t>單次交易最大獲利</t>
  </si>
  <si>
    <t>單次交易最大損失</t>
  </si>
  <si>
    <t>獲利交易中的平均獲利</t>
  </si>
  <si>
    <t>損失交易中的平均損失</t>
  </si>
  <si>
    <t>賺賠比</t>
  </si>
  <si>
    <t>最長的連續性獲利的次數</t>
  </si>
  <si>
    <t>最長的連續性損失的次數</t>
  </si>
  <si>
    <t>round_2</t>
    <phoneticPr fontId="2" type="noConversion"/>
  </si>
  <si>
    <t>總獲利</t>
  </si>
  <si>
    <t>總損失</t>
  </si>
  <si>
    <t>單次交易最大損失利</t>
  </si>
  <si>
    <t>項目</t>
  </si>
  <si>
    <t>模組 1</t>
  </si>
  <si>
    <t>模組 2</t>
  </si>
  <si>
    <t>模組 3</t>
  </si>
  <si>
    <t>模組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</si>
</sst>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9" fontId="0" fillId="0" borderId="0" xfId="1" applyFont="1" applyAlignment="1">
      <alignment horizontal="right" vertical="center"/>
    </xf>
  </cellXfs>
  <cellStyles count="2">
    <cellStyle name="一般" xfId="0" builtinId="0"/>
    <cellStyle name="百分比" xfId="1" builtinId="5"/>
  </cellStyles>
  <dxfs count="11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F85566D9-BD29-44A2-A3F5-C635E6E81BF5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Metric" tableColumnId="1"/>
      <queryTableField id="2" name="Value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EF9F953D-EC94-4E34-8044-FACBC3FA8B67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Metric" tableColumnId="1"/>
      <queryTableField id="2" name="Value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C5951215-075E-4E94-B35F-793CCA4D5AEC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Metric" tableColumnId="1"/>
      <queryTableField id="2" name="Value" tableColumnId="2"/>
      <queryTableField id="3" dataBound="0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D882E6-C8BC-4775-8599-5E260379A3E0}" name="表格4" displayName="表格4" ref="A1:E17" totalsRowShown="0" headerRowDxfId="4">
  <autoFilter ref="A1:E17" xr:uid="{2BD882E6-C8BC-4775-8599-5E260379A3E0}"/>
  <tableColumns count="5">
    <tableColumn id="1" xr3:uid="{F9E1CFC3-71C8-479B-A02D-BBEE281B68A2}" name="項目"/>
    <tableColumn id="2" xr3:uid="{3893C3EC-6D59-4024-9C4C-CC4E20231668}" name="模組 1" dataDxfId="3"/>
    <tableColumn id="3" xr3:uid="{29AB015B-4B9C-48BB-85AB-B38472762ED5}" name="模組 2" dataDxfId="2"/>
    <tableColumn id="4" xr3:uid="{4830F1F9-3C8E-4E29-87E6-79F9022EC62E}" name="模組 3" dataDxfId="1"/>
    <tableColumn id="5" xr3:uid="{C5891073-367B-429B-B7DD-9AF650C6E619}" name="模組 4" dataDxfId="0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32FD7-9172-4E88-BCFB-45383E734A84}" name="module_one" displayName="module_one" ref="A1:C17" tableType="queryTable" totalsRowShown="0">
  <autoFilter ref="A1:C17" xr:uid="{37532FD7-9172-4E88-BCFB-45383E734A84}"/>
  <tableColumns count="3">
    <tableColumn id="1" xr3:uid="{116E6168-DEF8-4FEC-B0FE-11A11536C390}" uniqueName="1" name="Metric" queryTableFieldId="1" dataDxfId="10"/>
    <tableColumn id="2" xr3:uid="{5F8F0333-6C73-4585-8804-1FE3C70ED9A9}" uniqueName="2" name="Value" queryTableFieldId="2"/>
    <tableColumn id="3" xr3:uid="{9BCA30B9-8821-456D-97AA-6749FF640BD5}" uniqueName="3" name="round_2" queryTableFieldId="3" dataDxfId="7">
      <calculatedColumnFormula>ROUND(module_one[[#This Row],[Value]],2)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0753F9-8F35-46B9-B594-7A5F843C2A22}" name="module_two" displayName="module_two" ref="A1:C17" tableType="queryTable" totalsRowShown="0">
  <autoFilter ref="A1:C17" xr:uid="{2F0753F9-8F35-46B9-B594-7A5F843C2A22}"/>
  <tableColumns count="3">
    <tableColumn id="1" xr3:uid="{D86F6CCE-FB83-42B3-9BA7-F99CA1CF6E95}" uniqueName="1" name="Metric" queryTableFieldId="1" dataDxfId="9"/>
    <tableColumn id="2" xr3:uid="{2F6E686A-F2F9-4D79-A74B-356F77E31403}" uniqueName="2" name="Value" queryTableFieldId="2"/>
    <tableColumn id="3" xr3:uid="{5C1368F8-E6D6-4C98-975D-333011EEB40E}" uniqueName="3" name="round_2" queryTableFieldId="3" dataDxfId="6">
      <calculatedColumnFormula>ROUND(module_two[[#This Row],[Value]],2)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7FC4BB-52AB-4D9E-A112-5692C987B9B7}" name="module_three" displayName="module_three" ref="A1:C17" tableType="queryTable" totalsRowShown="0">
  <autoFilter ref="A1:C17" xr:uid="{647FC4BB-52AB-4D9E-A112-5692C987B9B7}"/>
  <tableColumns count="3">
    <tableColumn id="1" xr3:uid="{93D3ED5E-788D-4F20-81DB-111889C30DF4}" uniqueName="1" name="Metric" queryTableFieldId="1" dataDxfId="8"/>
    <tableColumn id="2" xr3:uid="{321F86DE-ADAB-43F8-B780-72686E66A46B}" uniqueName="2" name="Value" queryTableFieldId="2"/>
    <tableColumn id="3" xr3:uid="{D379BEE5-DE7F-40C4-9292-3D881340F79E}" uniqueName="3" name="round_2" queryTableFieldId="3" dataDxfId="5">
      <calculatedColumnFormula>ROUND(module_three[[#This Row],[Value]],2)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B10F-AE86-4B42-8AB8-6C5D76D498DF}">
  <dimension ref="A1:E17"/>
  <sheetViews>
    <sheetView tabSelected="1" zoomScale="115" zoomScaleNormal="115" workbookViewId="0">
      <selection activeCell="H14" sqref="H14"/>
    </sheetView>
  </sheetViews>
  <sheetFormatPr defaultRowHeight="18" x14ac:dyDescent="0.35"/>
  <cols>
    <col min="1" max="1" width="24.4609375" bestFit="1" customWidth="1"/>
    <col min="2" max="5" width="9.3828125" bestFit="1" customWidth="1"/>
  </cols>
  <sheetData>
    <row r="1" spans="1:5" x14ac:dyDescent="0.3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</row>
    <row r="2" spans="1:5" x14ac:dyDescent="0.35">
      <c r="A2" t="s">
        <v>2</v>
      </c>
      <c r="B2" s="5">
        <v>514</v>
      </c>
      <c r="C2" s="5">
        <v>849</v>
      </c>
      <c r="D2" s="5">
        <v>968</v>
      </c>
      <c r="E2" s="5"/>
    </row>
    <row r="3" spans="1:5" x14ac:dyDescent="0.35">
      <c r="A3" s="3" t="s">
        <v>3</v>
      </c>
      <c r="B3" s="5">
        <v>514</v>
      </c>
      <c r="C3" s="5">
        <v>759</v>
      </c>
      <c r="D3" s="5">
        <v>925</v>
      </c>
      <c r="E3" s="5"/>
    </row>
    <row r="4" spans="1:5" x14ac:dyDescent="0.35">
      <c r="A4" t="s">
        <v>4</v>
      </c>
      <c r="B4" s="5">
        <v>113</v>
      </c>
      <c r="C4" s="5">
        <v>714</v>
      </c>
      <c r="D4" s="5">
        <v>832</v>
      </c>
      <c r="E4" s="5"/>
    </row>
    <row r="5" spans="1:5" x14ac:dyDescent="0.35">
      <c r="A5" t="s">
        <v>19</v>
      </c>
      <c r="B5" s="5">
        <v>755</v>
      </c>
      <c r="C5" s="5">
        <v>2039</v>
      </c>
      <c r="D5" s="5">
        <v>4772</v>
      </c>
      <c r="E5" s="5"/>
    </row>
    <row r="6" spans="1:5" x14ac:dyDescent="0.35">
      <c r="A6" t="s">
        <v>20</v>
      </c>
      <c r="B6" s="5">
        <v>-241</v>
      </c>
      <c r="C6" s="5">
        <v>-1280</v>
      </c>
      <c r="D6" s="5">
        <v>-3847</v>
      </c>
      <c r="E6" s="5"/>
    </row>
    <row r="7" spans="1:5" x14ac:dyDescent="0.35">
      <c r="A7" t="s">
        <v>7</v>
      </c>
      <c r="B7" s="5">
        <v>24</v>
      </c>
      <c r="C7" s="5">
        <v>39</v>
      </c>
      <c r="D7" s="5">
        <v>96</v>
      </c>
      <c r="E7" s="5"/>
    </row>
    <row r="8" spans="1:5" x14ac:dyDescent="0.35">
      <c r="A8" t="s">
        <v>8</v>
      </c>
      <c r="B8" s="5">
        <v>14</v>
      </c>
      <c r="C8" s="5">
        <v>20</v>
      </c>
      <c r="D8" s="5">
        <v>45</v>
      </c>
      <c r="E8" s="5"/>
    </row>
    <row r="9" spans="1:5" x14ac:dyDescent="0.35">
      <c r="A9" t="s">
        <v>9</v>
      </c>
      <c r="B9" s="5">
        <v>10</v>
      </c>
      <c r="C9" s="5">
        <v>19</v>
      </c>
      <c r="D9" s="5">
        <v>51</v>
      </c>
      <c r="E9" s="5"/>
    </row>
    <row r="10" spans="1:5" x14ac:dyDescent="0.35">
      <c r="A10" t="s">
        <v>10</v>
      </c>
      <c r="B10" s="6">
        <v>0.57999999999999996</v>
      </c>
      <c r="C10" s="6">
        <v>0.51</v>
      </c>
      <c r="D10" s="6">
        <v>0.47</v>
      </c>
      <c r="E10" s="5"/>
    </row>
    <row r="11" spans="1:5" x14ac:dyDescent="0.35">
      <c r="A11" t="s">
        <v>11</v>
      </c>
      <c r="B11" s="5">
        <v>172</v>
      </c>
      <c r="C11" s="5">
        <v>332</v>
      </c>
      <c r="D11" s="5">
        <v>326</v>
      </c>
      <c r="E11" s="5"/>
    </row>
    <row r="12" spans="1:5" x14ac:dyDescent="0.35">
      <c r="A12" t="s">
        <v>21</v>
      </c>
      <c r="B12" s="5">
        <v>-45</v>
      </c>
      <c r="C12" s="5">
        <v>-138</v>
      </c>
      <c r="D12" s="5">
        <v>-298</v>
      </c>
      <c r="E12" s="5"/>
    </row>
    <row r="13" spans="1:5" x14ac:dyDescent="0.35">
      <c r="A13" t="s">
        <v>13</v>
      </c>
      <c r="B13" s="5">
        <v>53.93</v>
      </c>
      <c r="C13" s="5">
        <v>101.95</v>
      </c>
      <c r="D13" s="5">
        <v>106.04</v>
      </c>
      <c r="E13" s="5"/>
    </row>
    <row r="14" spans="1:5" x14ac:dyDescent="0.35">
      <c r="A14" t="s">
        <v>14</v>
      </c>
      <c r="B14" s="5">
        <v>-24.1</v>
      </c>
      <c r="C14" s="5">
        <v>-67.37</v>
      </c>
      <c r="D14" s="5">
        <v>-75.430000000000007</v>
      </c>
      <c r="E14" s="5"/>
    </row>
    <row r="15" spans="1:5" x14ac:dyDescent="0.35">
      <c r="A15" t="s">
        <v>15</v>
      </c>
      <c r="B15" s="5">
        <v>2.2400000000000002</v>
      </c>
      <c r="C15" s="5">
        <v>1.51</v>
      </c>
      <c r="D15" s="5">
        <v>1.41</v>
      </c>
      <c r="E15" s="5"/>
    </row>
    <row r="16" spans="1:5" x14ac:dyDescent="0.35">
      <c r="A16" t="s">
        <v>16</v>
      </c>
      <c r="B16" s="5">
        <v>5</v>
      </c>
      <c r="C16" s="5">
        <v>3</v>
      </c>
      <c r="D16" s="5">
        <v>4</v>
      </c>
      <c r="E16" s="5"/>
    </row>
    <row r="17" spans="1:5" x14ac:dyDescent="0.35">
      <c r="A17" t="s">
        <v>17</v>
      </c>
      <c r="B17" s="5">
        <v>3</v>
      </c>
      <c r="C17" s="5">
        <v>4</v>
      </c>
      <c r="D17" s="5">
        <v>5</v>
      </c>
      <c r="E17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69E5-D7A3-4719-A18B-9E23D647F4FE}">
  <dimension ref="A1:E17"/>
  <sheetViews>
    <sheetView workbookViewId="0">
      <selection activeCell="C2" sqref="C2:C17"/>
    </sheetView>
  </sheetViews>
  <sheetFormatPr defaultRowHeight="18" x14ac:dyDescent="0.35"/>
  <cols>
    <col min="1" max="1" width="24.3046875" bestFit="1" customWidth="1"/>
    <col min="2" max="2" width="12.3828125" bestFit="1" customWidth="1"/>
    <col min="3" max="3" width="9.765625" bestFit="1" customWidth="1"/>
    <col min="5" max="5" width="24.3046875" bestFit="1" customWidth="1"/>
  </cols>
  <sheetData>
    <row r="1" spans="1:5" x14ac:dyDescent="0.35">
      <c r="A1" t="s">
        <v>0</v>
      </c>
      <c r="B1" t="s">
        <v>1</v>
      </c>
      <c r="C1" t="s">
        <v>18</v>
      </c>
    </row>
    <row r="2" spans="1:5" x14ac:dyDescent="0.35">
      <c r="A2" s="1" t="s">
        <v>2</v>
      </c>
      <c r="B2">
        <v>514</v>
      </c>
      <c r="C2">
        <f>ROUND(module_one[[#This Row],[Value]],2)</f>
        <v>514</v>
      </c>
      <c r="E2" t="s">
        <v>2</v>
      </c>
    </row>
    <row r="3" spans="1:5" x14ac:dyDescent="0.35">
      <c r="A3" s="1" t="s">
        <v>3</v>
      </c>
      <c r="B3">
        <v>514</v>
      </c>
      <c r="C3">
        <f>ROUND(module_one[[#This Row],[Value]],2)</f>
        <v>514</v>
      </c>
      <c r="E3" s="3" t="s">
        <v>3</v>
      </c>
    </row>
    <row r="4" spans="1:5" x14ac:dyDescent="0.35">
      <c r="A4" s="1" t="s">
        <v>4</v>
      </c>
      <c r="B4">
        <v>113</v>
      </c>
      <c r="C4">
        <f>ROUND(module_one[[#This Row],[Value]],2)</f>
        <v>113</v>
      </c>
      <c r="E4" t="s">
        <v>4</v>
      </c>
    </row>
    <row r="5" spans="1:5" x14ac:dyDescent="0.35">
      <c r="A5" s="1" t="s">
        <v>5</v>
      </c>
      <c r="B5">
        <v>755</v>
      </c>
      <c r="C5">
        <f>ROUND(module_one[[#This Row],[Value]],2)</f>
        <v>755</v>
      </c>
      <c r="E5" t="s">
        <v>19</v>
      </c>
    </row>
    <row r="6" spans="1:5" x14ac:dyDescent="0.35">
      <c r="A6" s="1" t="s">
        <v>6</v>
      </c>
      <c r="B6">
        <v>-241</v>
      </c>
      <c r="C6">
        <f>ROUND(module_one[[#This Row],[Value]],2)</f>
        <v>-241</v>
      </c>
      <c r="E6" t="s">
        <v>20</v>
      </c>
    </row>
    <row r="7" spans="1:5" x14ac:dyDescent="0.35">
      <c r="A7" s="1" t="s">
        <v>7</v>
      </c>
      <c r="B7">
        <v>24</v>
      </c>
      <c r="C7">
        <f>ROUND(module_one[[#This Row],[Value]],2)</f>
        <v>24</v>
      </c>
      <c r="E7" t="s">
        <v>7</v>
      </c>
    </row>
    <row r="8" spans="1:5" x14ac:dyDescent="0.35">
      <c r="A8" s="1" t="s">
        <v>8</v>
      </c>
      <c r="B8">
        <v>14</v>
      </c>
      <c r="C8">
        <f>ROUND(module_one[[#This Row],[Value]],2)</f>
        <v>14</v>
      </c>
      <c r="E8" t="s">
        <v>8</v>
      </c>
    </row>
    <row r="9" spans="1:5" x14ac:dyDescent="0.35">
      <c r="A9" s="1" t="s">
        <v>9</v>
      </c>
      <c r="B9">
        <v>10</v>
      </c>
      <c r="C9">
        <f>ROUND(module_one[[#This Row],[Value]],2)</f>
        <v>10</v>
      </c>
      <c r="E9" t="s">
        <v>9</v>
      </c>
    </row>
    <row r="10" spans="1:5" x14ac:dyDescent="0.35">
      <c r="A10" s="1" t="s">
        <v>10</v>
      </c>
      <c r="B10">
        <v>0.58330000000000004</v>
      </c>
      <c r="C10" s="2">
        <f>ROUND(module_one[[#This Row],[Value]],2)</f>
        <v>0.57999999999999996</v>
      </c>
      <c r="E10" t="s">
        <v>10</v>
      </c>
    </row>
    <row r="11" spans="1:5" x14ac:dyDescent="0.35">
      <c r="A11" s="1" t="s">
        <v>11</v>
      </c>
      <c r="B11">
        <v>172</v>
      </c>
      <c r="C11">
        <f>ROUND(module_one[[#This Row],[Value]],2)</f>
        <v>172</v>
      </c>
      <c r="E11" t="s">
        <v>11</v>
      </c>
    </row>
    <row r="12" spans="1:5" x14ac:dyDescent="0.35">
      <c r="A12" s="1" t="s">
        <v>12</v>
      </c>
      <c r="B12">
        <v>-45</v>
      </c>
      <c r="C12">
        <f>ROUND(module_one[[#This Row],[Value]],2)</f>
        <v>-45</v>
      </c>
      <c r="E12" t="s">
        <v>21</v>
      </c>
    </row>
    <row r="13" spans="1:5" x14ac:dyDescent="0.35">
      <c r="A13" s="1" t="s">
        <v>13</v>
      </c>
      <c r="B13">
        <v>53.928571428571431</v>
      </c>
      <c r="C13">
        <f>ROUND(module_one[[#This Row],[Value]],2)</f>
        <v>53.93</v>
      </c>
      <c r="E13" t="s">
        <v>13</v>
      </c>
    </row>
    <row r="14" spans="1:5" x14ac:dyDescent="0.35">
      <c r="A14" s="1" t="s">
        <v>14</v>
      </c>
      <c r="B14">
        <v>-24.1</v>
      </c>
      <c r="C14">
        <f>ROUND(module_one[[#This Row],[Value]],2)</f>
        <v>-24.1</v>
      </c>
      <c r="E14" t="s">
        <v>14</v>
      </c>
    </row>
    <row r="15" spans="1:5" x14ac:dyDescent="0.35">
      <c r="A15" s="1" t="s">
        <v>15</v>
      </c>
      <c r="B15">
        <v>2.2377000592768228</v>
      </c>
      <c r="C15">
        <f>ROUND(module_one[[#This Row],[Value]],2)</f>
        <v>2.2400000000000002</v>
      </c>
      <c r="E15" t="s">
        <v>15</v>
      </c>
    </row>
    <row r="16" spans="1:5" x14ac:dyDescent="0.35">
      <c r="A16" s="1" t="s">
        <v>16</v>
      </c>
      <c r="B16">
        <v>5</v>
      </c>
      <c r="C16">
        <f>ROUND(module_one[[#This Row],[Value]],2)</f>
        <v>5</v>
      </c>
      <c r="E16" t="s">
        <v>16</v>
      </c>
    </row>
    <row r="17" spans="1:5" x14ac:dyDescent="0.35">
      <c r="A17" s="1" t="s">
        <v>17</v>
      </c>
      <c r="B17">
        <v>3</v>
      </c>
      <c r="C17">
        <f>ROUND(module_one[[#This Row],[Value]],2)</f>
        <v>3</v>
      </c>
      <c r="E17" t="s">
        <v>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6FF0-630C-4631-BDA1-22F6D43C8CE4}">
  <dimension ref="A1:C17"/>
  <sheetViews>
    <sheetView workbookViewId="0">
      <selection activeCell="C2" sqref="C2:C17"/>
    </sheetView>
  </sheetViews>
  <sheetFormatPr defaultRowHeight="18" x14ac:dyDescent="0.35"/>
  <cols>
    <col min="1" max="1" width="24.3046875" bestFit="1" customWidth="1"/>
    <col min="2" max="2" width="13.23046875" bestFit="1" customWidth="1"/>
  </cols>
  <sheetData>
    <row r="1" spans="1:3" x14ac:dyDescent="0.35">
      <c r="A1" t="s">
        <v>0</v>
      </c>
      <c r="B1" t="s">
        <v>1</v>
      </c>
      <c r="C1" t="s">
        <v>18</v>
      </c>
    </row>
    <row r="2" spans="1:3" x14ac:dyDescent="0.35">
      <c r="A2" s="1" t="s">
        <v>2</v>
      </c>
      <c r="B2">
        <v>849</v>
      </c>
      <c r="C2">
        <f>ROUND(module_two[[#This Row],[Value]],2)</f>
        <v>849</v>
      </c>
    </row>
    <row r="3" spans="1:3" x14ac:dyDescent="0.35">
      <c r="A3" s="1" t="s">
        <v>3</v>
      </c>
      <c r="B3">
        <v>759</v>
      </c>
      <c r="C3">
        <f>ROUND(module_two[[#This Row],[Value]],2)</f>
        <v>759</v>
      </c>
    </row>
    <row r="4" spans="1:3" x14ac:dyDescent="0.35">
      <c r="A4" s="1" t="s">
        <v>4</v>
      </c>
      <c r="B4">
        <v>714</v>
      </c>
      <c r="C4">
        <f>ROUND(module_two[[#This Row],[Value]],2)</f>
        <v>714</v>
      </c>
    </row>
    <row r="5" spans="1:3" x14ac:dyDescent="0.35">
      <c r="A5" s="1" t="s">
        <v>5</v>
      </c>
      <c r="B5">
        <v>2039</v>
      </c>
      <c r="C5">
        <f>ROUND(module_two[[#This Row],[Value]],2)</f>
        <v>2039</v>
      </c>
    </row>
    <row r="6" spans="1:3" x14ac:dyDescent="0.35">
      <c r="A6" s="1" t="s">
        <v>6</v>
      </c>
      <c r="B6">
        <v>-1280</v>
      </c>
      <c r="C6">
        <f>ROUND(module_two[[#This Row],[Value]],2)</f>
        <v>-1280</v>
      </c>
    </row>
    <row r="7" spans="1:3" x14ac:dyDescent="0.35">
      <c r="A7" s="1" t="s">
        <v>7</v>
      </c>
      <c r="B7">
        <v>39</v>
      </c>
      <c r="C7">
        <f>ROUND(module_two[[#This Row],[Value]],2)</f>
        <v>39</v>
      </c>
    </row>
    <row r="8" spans="1:3" x14ac:dyDescent="0.35">
      <c r="A8" s="1" t="s">
        <v>8</v>
      </c>
      <c r="B8">
        <v>20</v>
      </c>
      <c r="C8">
        <f>ROUND(module_two[[#This Row],[Value]],2)</f>
        <v>20</v>
      </c>
    </row>
    <row r="9" spans="1:3" x14ac:dyDescent="0.35">
      <c r="A9" s="1" t="s">
        <v>9</v>
      </c>
      <c r="B9">
        <v>19</v>
      </c>
      <c r="C9">
        <f>ROUND(module_two[[#This Row],[Value]],2)</f>
        <v>19</v>
      </c>
    </row>
    <row r="10" spans="1:3" x14ac:dyDescent="0.35">
      <c r="A10" s="1" t="s">
        <v>10</v>
      </c>
      <c r="B10">
        <v>0.51280000000000003</v>
      </c>
      <c r="C10">
        <f>ROUND(module_two[[#This Row],[Value]],2)</f>
        <v>0.51</v>
      </c>
    </row>
    <row r="11" spans="1:3" x14ac:dyDescent="0.35">
      <c r="A11" s="1" t="s">
        <v>11</v>
      </c>
      <c r="B11">
        <v>332</v>
      </c>
      <c r="C11">
        <f>ROUND(module_two[[#This Row],[Value]],2)</f>
        <v>332</v>
      </c>
    </row>
    <row r="12" spans="1:3" x14ac:dyDescent="0.35">
      <c r="A12" s="1" t="s">
        <v>12</v>
      </c>
      <c r="B12">
        <v>-138</v>
      </c>
      <c r="C12">
        <f>ROUND(module_two[[#This Row],[Value]],2)</f>
        <v>-138</v>
      </c>
    </row>
    <row r="13" spans="1:3" x14ac:dyDescent="0.35">
      <c r="A13" s="1" t="s">
        <v>13</v>
      </c>
      <c r="B13">
        <v>101.95</v>
      </c>
      <c r="C13">
        <f>ROUND(module_two[[#This Row],[Value]],2)</f>
        <v>101.95</v>
      </c>
    </row>
    <row r="14" spans="1:3" x14ac:dyDescent="0.35">
      <c r="A14" s="1" t="s">
        <v>14</v>
      </c>
      <c r="B14">
        <v>-67.368421052631575</v>
      </c>
      <c r="C14">
        <f>ROUND(module_two[[#This Row],[Value]],2)</f>
        <v>-67.37</v>
      </c>
    </row>
    <row r="15" spans="1:3" x14ac:dyDescent="0.35">
      <c r="A15" s="1" t="s">
        <v>15</v>
      </c>
      <c r="B15">
        <v>1.5133203125000001</v>
      </c>
      <c r="C15">
        <f>ROUND(module_two[[#This Row],[Value]],2)</f>
        <v>1.51</v>
      </c>
    </row>
    <row r="16" spans="1:3" x14ac:dyDescent="0.35">
      <c r="A16" s="1" t="s">
        <v>16</v>
      </c>
      <c r="B16">
        <v>3</v>
      </c>
      <c r="C16">
        <f>ROUND(module_two[[#This Row],[Value]],2)</f>
        <v>3</v>
      </c>
    </row>
    <row r="17" spans="1:3" x14ac:dyDescent="0.35">
      <c r="A17" s="1" t="s">
        <v>17</v>
      </c>
      <c r="B17">
        <v>4</v>
      </c>
      <c r="C17">
        <f>ROUND(module_two[[#This Row],[Value]],2)</f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2E49-77A8-4420-91D5-BEC528BCC8CC}">
  <dimension ref="A1:C17"/>
  <sheetViews>
    <sheetView workbookViewId="0">
      <selection activeCell="C2" sqref="C2:C17"/>
    </sheetView>
  </sheetViews>
  <sheetFormatPr defaultRowHeight="18" x14ac:dyDescent="0.35"/>
  <cols>
    <col min="1" max="1" width="24.3046875" bestFit="1" customWidth="1"/>
    <col min="2" max="2" width="13.23046875" bestFit="1" customWidth="1"/>
  </cols>
  <sheetData>
    <row r="1" spans="1:3" x14ac:dyDescent="0.35">
      <c r="A1" t="s">
        <v>0</v>
      </c>
      <c r="B1" t="s">
        <v>1</v>
      </c>
      <c r="C1" t="s">
        <v>18</v>
      </c>
    </row>
    <row r="2" spans="1:3" x14ac:dyDescent="0.35">
      <c r="A2" s="1" t="s">
        <v>2</v>
      </c>
      <c r="B2">
        <v>968</v>
      </c>
      <c r="C2">
        <f>ROUND(module_three[[#This Row],[Value]],2)</f>
        <v>968</v>
      </c>
    </row>
    <row r="3" spans="1:3" x14ac:dyDescent="0.35">
      <c r="A3" s="1" t="s">
        <v>3</v>
      </c>
      <c r="B3">
        <v>925</v>
      </c>
      <c r="C3">
        <f>ROUND(module_three[[#This Row],[Value]],2)</f>
        <v>925</v>
      </c>
    </row>
    <row r="4" spans="1:3" x14ac:dyDescent="0.35">
      <c r="A4" s="1" t="s">
        <v>4</v>
      </c>
      <c r="B4">
        <v>832</v>
      </c>
      <c r="C4">
        <f>ROUND(module_three[[#This Row],[Value]],2)</f>
        <v>832</v>
      </c>
    </row>
    <row r="5" spans="1:3" x14ac:dyDescent="0.35">
      <c r="A5" s="1" t="s">
        <v>5</v>
      </c>
      <c r="B5">
        <v>4772</v>
      </c>
      <c r="C5">
        <f>ROUND(module_three[[#This Row],[Value]],2)</f>
        <v>4772</v>
      </c>
    </row>
    <row r="6" spans="1:3" x14ac:dyDescent="0.35">
      <c r="A6" s="1" t="s">
        <v>6</v>
      </c>
      <c r="B6">
        <v>-3847</v>
      </c>
      <c r="C6">
        <f>ROUND(module_three[[#This Row],[Value]],2)</f>
        <v>-3847</v>
      </c>
    </row>
    <row r="7" spans="1:3" x14ac:dyDescent="0.35">
      <c r="A7" s="1" t="s">
        <v>7</v>
      </c>
      <c r="B7">
        <v>96</v>
      </c>
      <c r="C7">
        <f>ROUND(module_three[[#This Row],[Value]],2)</f>
        <v>96</v>
      </c>
    </row>
    <row r="8" spans="1:3" x14ac:dyDescent="0.35">
      <c r="A8" s="1" t="s">
        <v>8</v>
      </c>
      <c r="B8">
        <v>45</v>
      </c>
      <c r="C8">
        <f>ROUND(module_three[[#This Row],[Value]],2)</f>
        <v>45</v>
      </c>
    </row>
    <row r="9" spans="1:3" x14ac:dyDescent="0.35">
      <c r="A9" s="1" t="s">
        <v>9</v>
      </c>
      <c r="B9">
        <v>51</v>
      </c>
      <c r="C9">
        <f>ROUND(module_three[[#This Row],[Value]],2)</f>
        <v>51</v>
      </c>
    </row>
    <row r="10" spans="1:3" x14ac:dyDescent="0.35">
      <c r="A10" s="1" t="s">
        <v>10</v>
      </c>
      <c r="B10">
        <v>0.46879999999999999</v>
      </c>
      <c r="C10">
        <f>ROUND(module_three[[#This Row],[Value]],2)</f>
        <v>0.47</v>
      </c>
    </row>
    <row r="11" spans="1:3" x14ac:dyDescent="0.35">
      <c r="A11" s="1" t="s">
        <v>11</v>
      </c>
      <c r="B11">
        <v>326</v>
      </c>
      <c r="C11">
        <f>ROUND(module_three[[#This Row],[Value]],2)</f>
        <v>326</v>
      </c>
    </row>
    <row r="12" spans="1:3" x14ac:dyDescent="0.35">
      <c r="A12" s="1" t="s">
        <v>12</v>
      </c>
      <c r="B12">
        <v>-298</v>
      </c>
      <c r="C12">
        <f>ROUND(module_three[[#This Row],[Value]],2)</f>
        <v>-298</v>
      </c>
    </row>
    <row r="13" spans="1:3" x14ac:dyDescent="0.35">
      <c r="A13" s="1" t="s">
        <v>13</v>
      </c>
      <c r="B13">
        <v>106.04444444444445</v>
      </c>
      <c r="C13">
        <f>ROUND(module_three[[#This Row],[Value]],2)</f>
        <v>106.04</v>
      </c>
    </row>
    <row r="14" spans="1:3" x14ac:dyDescent="0.35">
      <c r="A14" s="1" t="s">
        <v>14</v>
      </c>
      <c r="B14">
        <v>-75.431372549019613</v>
      </c>
      <c r="C14">
        <f>ROUND(module_three[[#This Row],[Value]],2)</f>
        <v>-75.430000000000007</v>
      </c>
    </row>
    <row r="15" spans="1:3" x14ac:dyDescent="0.35">
      <c r="A15" s="1" t="s">
        <v>15</v>
      </c>
      <c r="B15">
        <v>1.4058400485226583</v>
      </c>
      <c r="C15">
        <f>ROUND(module_three[[#This Row],[Value]],2)</f>
        <v>1.41</v>
      </c>
    </row>
    <row r="16" spans="1:3" x14ac:dyDescent="0.35">
      <c r="A16" s="1" t="s">
        <v>16</v>
      </c>
      <c r="B16">
        <v>4</v>
      </c>
      <c r="C16">
        <f>ROUND(module_three[[#This Row],[Value]],2)</f>
        <v>4</v>
      </c>
    </row>
    <row r="17" spans="1:3" x14ac:dyDescent="0.35">
      <c r="A17" s="1" t="s">
        <v>17</v>
      </c>
      <c r="B17">
        <v>5</v>
      </c>
      <c r="C17">
        <f>ROUND(module_three[[#This Row],[Value]],2)</f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15C620-BFF6-4BF8-AEDE-0D2700DE3D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 in one</vt:lpstr>
      <vt:lpstr>module_one</vt:lpstr>
      <vt:lpstr>module_two</vt:lpstr>
      <vt:lpstr>module_three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鴻燊 邱</dc:creator>
  <cp:lastModifiedBy>鴻燊 邱</cp:lastModifiedBy>
  <dcterms:created xsi:type="dcterms:W3CDTF">2025-11-08T03:57:00Z</dcterms:created>
  <dcterms:modified xsi:type="dcterms:W3CDTF">2025-11-08T05:24:40Z</dcterms:modified>
</cp:coreProperties>
</file>